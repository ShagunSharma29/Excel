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er\Desktop\Excel class upgrad\"/>
    </mc:Choice>
  </mc:AlternateContent>
  <xr:revisionPtr revIDLastSave="0" documentId="13_ncr:1_{8101972D-11EB-4C97-B3F8-1AD27F35EEBF}" xr6:coauthVersionLast="47" xr6:coauthVersionMax="47" xr10:uidLastSave="{00000000-0000-0000-0000-000000000000}"/>
  <bookViews>
    <workbookView xWindow="-108" yWindow="-108" windowWidth="23256" windowHeight="12456" xr2:uid="{35DD7AAB-EE50-48E4-8295-F28A092709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  <c r="G3" i="1"/>
  <c r="G4" i="1"/>
  <c r="G5" i="1"/>
  <c r="G6" i="1"/>
  <c r="G7" i="1"/>
  <c r="G8" i="1"/>
  <c r="G9" i="1"/>
  <c r="G10" i="1"/>
  <c r="G11" i="1"/>
  <c r="G2" i="1"/>
  <c r="F1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<sst xmlns="http://schemas.openxmlformats.org/spreadsheetml/2006/main" count="78" uniqueCount="56">
  <si>
    <t>Job Title</t>
  </si>
  <si>
    <t>Experience (Years)</t>
  </si>
  <si>
    <t>Meets Experience</t>
  </si>
  <si>
    <t>Meets Salary</t>
  </si>
  <si>
    <t>Meets Both</t>
  </si>
  <si>
    <t>Meets Goals</t>
  </si>
  <si>
    <t>Python Developer</t>
  </si>
  <si>
    <t>Cloud Engineer</t>
  </si>
  <si>
    <t>Database Administrator</t>
  </si>
  <si>
    <t>AI Researcher</t>
  </si>
  <si>
    <t>Software Engineer</t>
  </si>
  <si>
    <t>Data Visualization Specialist</t>
  </si>
  <si>
    <t>Cybersecurity Analyst</t>
  </si>
  <si>
    <t>NLP Engineer</t>
  </si>
  <si>
    <t>BI Analyst</t>
  </si>
  <si>
    <t>Machine Learning Scientist</t>
  </si>
  <si>
    <t xml:space="preserve">Annual Salary </t>
  </si>
  <si>
    <t>Job Goals:</t>
  </si>
  <si>
    <t>Experience (&lt;=)</t>
  </si>
  <si>
    <t>Total Salary (&gt;=)</t>
  </si>
  <si>
    <t>Company</t>
  </si>
  <si>
    <t>Country</t>
  </si>
  <si>
    <t>Annual Salary ($)</t>
  </si>
  <si>
    <t>Work From Home</t>
  </si>
  <si>
    <t>Data Analyst</t>
  </si>
  <si>
    <t>Business Analyst</t>
  </si>
  <si>
    <t>Both Roles</t>
  </si>
  <si>
    <t>AND()</t>
  </si>
  <si>
    <t>OR()</t>
  </si>
  <si>
    <t>Salary Bucket</t>
  </si>
  <si>
    <t>NexaTech</t>
  </si>
  <si>
    <t>United States</t>
  </si>
  <si>
    <t>CloudNova</t>
  </si>
  <si>
    <t>Canada</t>
  </si>
  <si>
    <t>Data Scientist</t>
  </si>
  <si>
    <t>Microsoft</t>
  </si>
  <si>
    <t>Senior Data Analyst</t>
  </si>
  <si>
    <t>Accenture</t>
  </si>
  <si>
    <t>India</t>
  </si>
  <si>
    <t>Deloitte</t>
  </si>
  <si>
    <t>United Kingdom</t>
  </si>
  <si>
    <t>Data Engineer</t>
  </si>
  <si>
    <t>Amazon</t>
  </si>
  <si>
    <t>Junior Data Analyst</t>
  </si>
  <si>
    <t>Infosys</t>
  </si>
  <si>
    <t>Business Intelligence Analyst</t>
  </si>
  <si>
    <t>IBM</t>
  </si>
  <si>
    <t>Capgemini</t>
  </si>
  <si>
    <t>Germany</t>
  </si>
  <si>
    <t>Senior Business Analyst</t>
  </si>
  <si>
    <t>EY</t>
  </si>
  <si>
    <t>TCS</t>
  </si>
  <si>
    <t>Oracle</t>
  </si>
  <si>
    <t>Adobe</t>
  </si>
  <si>
    <t>Cognizant</t>
  </si>
  <si>
    <t>PwC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</si>
</sst>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0" fillId="0" borderId="0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413B-1403-403F-A867-31ABCDDD4E41}">
  <dimension ref="A1:G15"/>
  <sheetViews>
    <sheetView tabSelected="1" workbookViewId="0">
      <selection activeCell="I15" sqref="I15"/>
    </sheetView>
  </sheetViews>
  <sheetFormatPr defaultRowHeight="14.4" x14ac:dyDescent="0.3"/>
  <cols>
    <col min="1" max="1" width="21.5546875" customWidth="1"/>
    <col min="2" max="2" width="19.5546875" customWidth="1"/>
    <col min="3" max="3" width="7" bestFit="1" customWidth="1"/>
    <col min="4" max="4" width="18" customWidth="1"/>
    <col min="5" max="5" width="6.21875" bestFit="1" customWidth="1"/>
    <col min="6" max="6" width="12.5546875" customWidth="1"/>
    <col min="7" max="7" width="20.33203125" customWidth="1"/>
  </cols>
  <sheetData>
    <row r="1" spans="1:7" ht="43.2" x14ac:dyDescent="0.3">
      <c r="A1" s="1" t="s">
        <v>0</v>
      </c>
      <c r="B1" s="3" t="s">
        <v>1</v>
      </c>
      <c r="C1" s="3" t="s">
        <v>16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6</v>
      </c>
      <c r="B2" s="2">
        <v>2</v>
      </c>
      <c r="C2" s="2">
        <v>85000</v>
      </c>
      <c r="D2" s="4" t="b">
        <f>B2&lt;=$B$14</f>
        <v>1</v>
      </c>
      <c r="E2" s="4" t="b">
        <f>C2&lt;=$B$15</f>
        <v>1</v>
      </c>
      <c r="F2" s="4" t="b">
        <f>AND(D2,E2)</f>
        <v>1</v>
      </c>
      <c r="G2" s="4" t="str">
        <f>IF(F2,"Goal met","not")</f>
        <v>Goal met</v>
      </c>
    </row>
    <row r="3" spans="1:7" ht="28.8" x14ac:dyDescent="0.3">
      <c r="A3" s="4" t="s">
        <v>7</v>
      </c>
      <c r="B3" s="2">
        <v>6</v>
      </c>
      <c r="C3" s="2">
        <v>125000</v>
      </c>
      <c r="D3" s="4" t="b">
        <f t="shared" ref="D3:D11" si="0">B3&lt;=$B$14</f>
        <v>0</v>
      </c>
      <c r="E3" s="4" t="b">
        <f t="shared" ref="E3:E11" si="1">C3&lt;=$B$15</f>
        <v>0</v>
      </c>
      <c r="F3" s="4" t="b">
        <f t="shared" ref="F3:F11" si="2">AND(D3,E3)</f>
        <v>0</v>
      </c>
      <c r="G3" s="4" t="str">
        <f t="shared" ref="G3:G11" si="3">IF(F3,"Goal met","not")</f>
        <v>not</v>
      </c>
    </row>
    <row r="4" spans="1:7" ht="28.8" x14ac:dyDescent="0.3">
      <c r="A4" s="4" t="s">
        <v>8</v>
      </c>
      <c r="B4" s="2">
        <v>4</v>
      </c>
      <c r="C4" s="2">
        <v>95000</v>
      </c>
      <c r="D4" s="4" t="b">
        <f t="shared" si="0"/>
        <v>1</v>
      </c>
      <c r="E4" s="4" t="b">
        <f t="shared" si="1"/>
        <v>1</v>
      </c>
      <c r="F4" s="4" t="b">
        <f t="shared" si="2"/>
        <v>1</v>
      </c>
      <c r="G4" s="4" t="str">
        <f t="shared" si="3"/>
        <v>Goal met</v>
      </c>
    </row>
    <row r="5" spans="1:7" ht="28.8" x14ac:dyDescent="0.3">
      <c r="A5" s="4" t="s">
        <v>9</v>
      </c>
      <c r="B5" s="2">
        <v>3</v>
      </c>
      <c r="C5" s="2">
        <v>105000</v>
      </c>
      <c r="D5" s="4" t="b">
        <f t="shared" si="0"/>
        <v>1</v>
      </c>
      <c r="E5" s="4" t="b">
        <f t="shared" si="1"/>
        <v>0</v>
      </c>
      <c r="F5" s="4" t="b">
        <f t="shared" si="2"/>
        <v>0</v>
      </c>
      <c r="G5" s="4" t="str">
        <f t="shared" si="3"/>
        <v>not</v>
      </c>
    </row>
    <row r="6" spans="1:7" ht="28.8" x14ac:dyDescent="0.3">
      <c r="A6" s="4" t="s">
        <v>10</v>
      </c>
      <c r="B6" s="2">
        <v>5</v>
      </c>
      <c r="C6" s="2">
        <v>90000</v>
      </c>
      <c r="D6" s="4" t="b">
        <f t="shared" si="0"/>
        <v>1</v>
      </c>
      <c r="E6" s="4" t="b">
        <f t="shared" si="1"/>
        <v>1</v>
      </c>
      <c r="F6" s="4" t="b">
        <f t="shared" si="2"/>
        <v>1</v>
      </c>
      <c r="G6" s="4" t="str">
        <f t="shared" si="3"/>
        <v>Goal met</v>
      </c>
    </row>
    <row r="7" spans="1:7" ht="28.8" x14ac:dyDescent="0.3">
      <c r="A7" s="4" t="s">
        <v>11</v>
      </c>
      <c r="B7" s="2">
        <v>1</v>
      </c>
      <c r="C7" s="2">
        <v>65000</v>
      </c>
      <c r="D7" s="4" t="b">
        <f t="shared" si="0"/>
        <v>1</v>
      </c>
      <c r="E7" s="4" t="b">
        <f t="shared" si="1"/>
        <v>1</v>
      </c>
      <c r="F7" s="4" t="b">
        <f t="shared" si="2"/>
        <v>1</v>
      </c>
      <c r="G7" s="4" t="str">
        <f t="shared" si="3"/>
        <v>Goal met</v>
      </c>
    </row>
    <row r="8" spans="1:7" ht="28.8" x14ac:dyDescent="0.3">
      <c r="A8" s="4" t="s">
        <v>12</v>
      </c>
      <c r="B8" s="2">
        <v>4</v>
      </c>
      <c r="C8" s="2">
        <v>110000</v>
      </c>
      <c r="D8" s="4" t="b">
        <f t="shared" si="0"/>
        <v>1</v>
      </c>
      <c r="E8" s="4" t="b">
        <f t="shared" si="1"/>
        <v>0</v>
      </c>
      <c r="F8" s="4" t="b">
        <f t="shared" si="2"/>
        <v>0</v>
      </c>
      <c r="G8" s="4" t="str">
        <f t="shared" si="3"/>
        <v>not</v>
      </c>
    </row>
    <row r="9" spans="1:7" ht="28.8" x14ac:dyDescent="0.3">
      <c r="A9" s="4" t="s">
        <v>13</v>
      </c>
      <c r="B9" s="2">
        <v>7</v>
      </c>
      <c r="C9" s="2">
        <v>140000</v>
      </c>
      <c r="D9" s="4" t="b">
        <f t="shared" si="0"/>
        <v>0</v>
      </c>
      <c r="E9" s="4" t="b">
        <f t="shared" si="1"/>
        <v>0</v>
      </c>
      <c r="F9" s="4" t="b">
        <f t="shared" si="2"/>
        <v>0</v>
      </c>
      <c r="G9" s="4" t="str">
        <f t="shared" si="3"/>
        <v>not</v>
      </c>
    </row>
    <row r="10" spans="1:7" ht="28.8" x14ac:dyDescent="0.3">
      <c r="A10" s="4" t="s">
        <v>14</v>
      </c>
      <c r="B10" s="2">
        <v>2</v>
      </c>
      <c r="C10" s="2">
        <v>92000</v>
      </c>
      <c r="D10" s="4" t="b">
        <f t="shared" si="0"/>
        <v>1</v>
      </c>
      <c r="E10" s="4" t="b">
        <f t="shared" si="1"/>
        <v>1</v>
      </c>
      <c r="F10" s="4" t="b">
        <f t="shared" si="2"/>
        <v>1</v>
      </c>
      <c r="G10" s="4" t="str">
        <f t="shared" si="3"/>
        <v>Goal met</v>
      </c>
    </row>
    <row r="11" spans="1:7" ht="28.8" x14ac:dyDescent="0.3">
      <c r="A11" s="4" t="s">
        <v>15</v>
      </c>
      <c r="B11" s="2">
        <v>5</v>
      </c>
      <c r="C11" s="2">
        <v>115000</v>
      </c>
      <c r="D11" s="4" t="b">
        <f t="shared" si="0"/>
        <v>1</v>
      </c>
      <c r="E11" s="4" t="b">
        <f t="shared" si="1"/>
        <v>0</v>
      </c>
      <c r="F11" s="4" t="b">
        <f t="shared" si="2"/>
        <v>0</v>
      </c>
      <c r="G11" s="4" t="str">
        <f t="shared" si="3"/>
        <v>not</v>
      </c>
    </row>
    <row r="12" spans="1:7" x14ac:dyDescent="0.3">
      <c r="F12" s="4">
        <f>COUNTIF(F2:F11,"TRUE")</f>
        <v>5</v>
      </c>
      <c r="G12" s="4">
        <f>COUNTIF(G2:G11,"Goal met")</f>
        <v>5</v>
      </c>
    </row>
    <row r="13" spans="1:7" ht="15" thickBot="1" x14ac:dyDescent="0.35">
      <c r="A13" s="5" t="s">
        <v>17</v>
      </c>
    </row>
    <row r="14" spans="1:7" x14ac:dyDescent="0.3">
      <c r="A14" s="6" t="s">
        <v>18</v>
      </c>
      <c r="B14" s="2">
        <v>5</v>
      </c>
    </row>
    <row r="15" spans="1:7" ht="15" thickBot="1" x14ac:dyDescent="0.35">
      <c r="A15" s="7" t="s">
        <v>19</v>
      </c>
      <c r="B15" s="8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A3FF-0A11-4C8E-92DC-11E48044AE99}">
  <dimension ref="A1:M16"/>
  <sheetViews>
    <sheetView workbookViewId="0">
      <selection activeCell="O4" sqref="O4"/>
    </sheetView>
  </sheetViews>
  <sheetFormatPr defaultRowHeight="14.4" x14ac:dyDescent="0.3"/>
  <sheetData>
    <row r="1" spans="1:13" ht="43.2" x14ac:dyDescent="0.3">
      <c r="A1" s="1" t="s">
        <v>0</v>
      </c>
      <c r="B1" s="1" t="s">
        <v>20</v>
      </c>
      <c r="C1" s="1" t="s">
        <v>21</v>
      </c>
      <c r="D1" s="3" t="s">
        <v>1</v>
      </c>
      <c r="E1" s="3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5</v>
      </c>
      <c r="M1" s="1" t="s">
        <v>29</v>
      </c>
    </row>
    <row r="2" spans="1:13" ht="28.8" x14ac:dyDescent="0.3">
      <c r="A2" s="4" t="s">
        <v>24</v>
      </c>
      <c r="B2" s="4" t="s">
        <v>30</v>
      </c>
      <c r="C2" s="4" t="s">
        <v>31</v>
      </c>
      <c r="D2" s="2">
        <v>2</v>
      </c>
      <c r="E2" s="2">
        <v>75000</v>
      </c>
      <c r="F2" s="4" t="b">
        <v>1</v>
      </c>
      <c r="G2" s="4"/>
      <c r="H2" s="4"/>
      <c r="I2" s="4"/>
      <c r="J2" s="4"/>
      <c r="K2" s="4"/>
      <c r="L2" s="4"/>
      <c r="M2" s="4"/>
    </row>
    <row r="3" spans="1:13" ht="28.8" x14ac:dyDescent="0.3">
      <c r="A3" s="4" t="s">
        <v>25</v>
      </c>
      <c r="B3" s="4" t="s">
        <v>32</v>
      </c>
      <c r="C3" s="4" t="s">
        <v>33</v>
      </c>
      <c r="D3" s="2">
        <v>4</v>
      </c>
      <c r="E3" s="2">
        <v>85000</v>
      </c>
      <c r="F3" s="4" t="b">
        <v>0</v>
      </c>
      <c r="G3" s="4"/>
      <c r="H3" s="4"/>
      <c r="I3" s="4"/>
      <c r="J3" s="4"/>
      <c r="K3" s="4"/>
      <c r="L3" s="4"/>
      <c r="M3" s="4"/>
    </row>
    <row r="4" spans="1:13" ht="28.8" x14ac:dyDescent="0.3">
      <c r="A4" s="4" t="s">
        <v>34</v>
      </c>
      <c r="B4" s="4" t="s">
        <v>35</v>
      </c>
      <c r="C4" s="4" t="s">
        <v>31</v>
      </c>
      <c r="D4" s="2">
        <v>5</v>
      </c>
      <c r="E4" s="2">
        <v>125000</v>
      </c>
      <c r="F4" s="4" t="b">
        <v>1</v>
      </c>
      <c r="G4" s="4"/>
      <c r="H4" s="4"/>
      <c r="I4" s="4"/>
      <c r="J4" s="4"/>
      <c r="K4" s="4"/>
      <c r="L4" s="4"/>
      <c r="M4" s="4"/>
    </row>
    <row r="5" spans="1:13" ht="43.2" x14ac:dyDescent="0.3">
      <c r="A5" s="4" t="s">
        <v>36</v>
      </c>
      <c r="B5" s="4" t="s">
        <v>37</v>
      </c>
      <c r="C5" s="4" t="s">
        <v>38</v>
      </c>
      <c r="D5" s="2">
        <v>6</v>
      </c>
      <c r="E5" s="2">
        <v>110000</v>
      </c>
      <c r="F5" s="4" t="b">
        <v>0</v>
      </c>
      <c r="G5" s="4"/>
      <c r="H5" s="4"/>
      <c r="I5" s="4"/>
      <c r="J5" s="4"/>
      <c r="K5" s="4"/>
      <c r="L5" s="4"/>
      <c r="M5" s="4"/>
    </row>
    <row r="6" spans="1:13" ht="28.8" x14ac:dyDescent="0.3">
      <c r="A6" s="4" t="s">
        <v>25</v>
      </c>
      <c r="B6" s="4" t="s">
        <v>39</v>
      </c>
      <c r="C6" s="4" t="s">
        <v>40</v>
      </c>
      <c r="D6" s="2">
        <v>3</v>
      </c>
      <c r="E6" s="2">
        <v>95000</v>
      </c>
      <c r="F6" s="4" t="b">
        <v>1</v>
      </c>
      <c r="G6" s="4"/>
      <c r="H6" s="4"/>
      <c r="I6" s="4"/>
      <c r="J6" s="4"/>
      <c r="K6" s="4"/>
      <c r="L6" s="4"/>
      <c r="M6" s="4"/>
    </row>
    <row r="7" spans="1:13" ht="28.8" x14ac:dyDescent="0.3">
      <c r="A7" s="4" t="s">
        <v>41</v>
      </c>
      <c r="B7" s="4" t="s">
        <v>42</v>
      </c>
      <c r="C7" s="4" t="s">
        <v>31</v>
      </c>
      <c r="D7" s="2">
        <v>4</v>
      </c>
      <c r="E7" s="2">
        <v>130000</v>
      </c>
      <c r="F7" s="4" t="b">
        <v>1</v>
      </c>
      <c r="G7" s="4"/>
      <c r="H7" s="4"/>
      <c r="I7" s="4"/>
      <c r="J7" s="4"/>
      <c r="K7" s="4"/>
      <c r="L7" s="4"/>
      <c r="M7" s="4"/>
    </row>
    <row r="8" spans="1:13" ht="43.2" x14ac:dyDescent="0.3">
      <c r="A8" s="4" t="s">
        <v>43</v>
      </c>
      <c r="B8" s="4" t="s">
        <v>44</v>
      </c>
      <c r="C8" s="4" t="s">
        <v>38</v>
      </c>
      <c r="D8" s="2">
        <v>1</v>
      </c>
      <c r="E8" s="2">
        <v>45000</v>
      </c>
      <c r="F8" s="4" t="b">
        <v>0</v>
      </c>
      <c r="G8" s="4"/>
      <c r="H8" s="4"/>
      <c r="I8" s="4"/>
      <c r="J8" s="4"/>
      <c r="K8" s="4"/>
      <c r="L8" s="4"/>
      <c r="M8" s="4"/>
    </row>
    <row r="9" spans="1:13" ht="57.6" x14ac:dyDescent="0.3">
      <c r="A9" s="4" t="s">
        <v>45</v>
      </c>
      <c r="B9" s="4" t="s">
        <v>46</v>
      </c>
      <c r="C9" s="4" t="s">
        <v>33</v>
      </c>
      <c r="D9" s="2">
        <v>5</v>
      </c>
      <c r="E9" s="2">
        <v>105000</v>
      </c>
      <c r="F9" s="4" t="b">
        <v>1</v>
      </c>
      <c r="G9" s="4"/>
      <c r="H9" s="4"/>
      <c r="I9" s="4"/>
      <c r="J9" s="4"/>
      <c r="K9" s="4"/>
      <c r="L9" s="4"/>
      <c r="M9" s="4"/>
    </row>
    <row r="10" spans="1:13" ht="28.8" x14ac:dyDescent="0.3">
      <c r="A10" s="4" t="s">
        <v>24</v>
      </c>
      <c r="B10" s="4" t="s">
        <v>47</v>
      </c>
      <c r="C10" s="4" t="s">
        <v>48</v>
      </c>
      <c r="D10" s="2">
        <v>3</v>
      </c>
      <c r="E10" s="2">
        <v>68000</v>
      </c>
      <c r="F10" s="4" t="b">
        <v>1</v>
      </c>
      <c r="G10" s="4"/>
      <c r="H10" s="4"/>
      <c r="I10" s="4"/>
      <c r="J10" s="4"/>
      <c r="K10" s="4"/>
      <c r="L10" s="4"/>
      <c r="M10" s="4"/>
    </row>
    <row r="11" spans="1:13" ht="43.2" x14ac:dyDescent="0.3">
      <c r="A11" s="4" t="s">
        <v>49</v>
      </c>
      <c r="B11" s="4" t="s">
        <v>50</v>
      </c>
      <c r="C11" s="4" t="s">
        <v>31</v>
      </c>
      <c r="D11" s="2">
        <v>7</v>
      </c>
      <c r="E11" s="2">
        <v>140000</v>
      </c>
      <c r="F11" s="4" t="b">
        <v>0</v>
      </c>
      <c r="G11" s="4"/>
      <c r="H11" s="4"/>
      <c r="I11" s="4"/>
      <c r="J11" s="4"/>
      <c r="K11" s="4"/>
      <c r="L11" s="4"/>
      <c r="M11" s="4"/>
    </row>
    <row r="12" spans="1:13" ht="28.8" x14ac:dyDescent="0.3">
      <c r="A12" s="4" t="s">
        <v>24</v>
      </c>
      <c r="B12" s="4" t="s">
        <v>51</v>
      </c>
      <c r="C12" s="4" t="s">
        <v>38</v>
      </c>
      <c r="D12" s="2">
        <v>2</v>
      </c>
      <c r="E12" s="2">
        <v>55000</v>
      </c>
      <c r="F12" s="4" t="b">
        <v>1</v>
      </c>
      <c r="G12" s="4"/>
      <c r="H12" s="4"/>
      <c r="I12" s="4"/>
      <c r="J12" s="4"/>
      <c r="K12" s="4"/>
      <c r="L12" s="4"/>
      <c r="M12" s="4"/>
    </row>
    <row r="13" spans="1:13" ht="28.8" x14ac:dyDescent="0.3">
      <c r="A13" s="4" t="s">
        <v>25</v>
      </c>
      <c r="B13" s="4" t="s">
        <v>52</v>
      </c>
      <c r="C13" s="4" t="s">
        <v>31</v>
      </c>
      <c r="D13" s="2">
        <v>4</v>
      </c>
      <c r="E13" s="2">
        <v>100000</v>
      </c>
      <c r="F13" s="4" t="b">
        <v>0</v>
      </c>
      <c r="G13" s="4"/>
      <c r="H13" s="4"/>
      <c r="I13" s="4"/>
      <c r="J13" s="4"/>
      <c r="K13" s="4"/>
      <c r="L13" s="4"/>
      <c r="M13" s="4"/>
    </row>
    <row r="14" spans="1:13" ht="28.8" x14ac:dyDescent="0.3">
      <c r="A14" s="4" t="s">
        <v>34</v>
      </c>
      <c r="B14" s="4" t="s">
        <v>53</v>
      </c>
      <c r="C14" s="4" t="s">
        <v>33</v>
      </c>
      <c r="D14" s="2">
        <v>6</v>
      </c>
      <c r="E14" s="2">
        <v>145000</v>
      </c>
      <c r="F14" s="4" t="b">
        <v>1</v>
      </c>
      <c r="G14" s="4"/>
      <c r="H14" s="4"/>
      <c r="I14" s="4"/>
      <c r="J14" s="4"/>
      <c r="K14" s="4"/>
      <c r="L14" s="4"/>
      <c r="M14" s="4"/>
    </row>
    <row r="15" spans="1:13" ht="28.8" x14ac:dyDescent="0.3">
      <c r="A15" s="4" t="s">
        <v>24</v>
      </c>
      <c r="B15" s="4" t="s">
        <v>54</v>
      </c>
      <c r="C15" s="4" t="s">
        <v>40</v>
      </c>
      <c r="D15" s="2">
        <v>3</v>
      </c>
      <c r="E15" s="2">
        <v>92000</v>
      </c>
      <c r="F15" s="4" t="b">
        <v>0</v>
      </c>
      <c r="G15" s="4"/>
      <c r="H15" s="4"/>
      <c r="I15" s="4"/>
      <c r="J15" s="4"/>
      <c r="K15" s="4"/>
      <c r="L15" s="4"/>
      <c r="M15" s="4"/>
    </row>
    <row r="16" spans="1:13" ht="28.8" x14ac:dyDescent="0.3">
      <c r="A16" s="4" t="s">
        <v>25</v>
      </c>
      <c r="B16" s="4" t="s">
        <v>55</v>
      </c>
      <c r="C16" s="4" t="s">
        <v>38</v>
      </c>
      <c r="D16" s="2">
        <v>5</v>
      </c>
      <c r="E16" s="2">
        <v>78000</v>
      </c>
      <c r="F16" s="4" t="b">
        <v>1</v>
      </c>
      <c r="G16" s="4"/>
      <c r="H16" s="4"/>
      <c r="I16" s="4"/>
      <c r="J16" s="4"/>
      <c r="K16" s="4"/>
      <c r="L16" s="4"/>
      <c r="M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 Sharma</dc:creator>
  <cp:lastModifiedBy>shagun Sharma</cp:lastModifiedBy>
  <dcterms:created xsi:type="dcterms:W3CDTF">2026-10-26T05:57:52Z</dcterms:created>
  <dcterms:modified xsi:type="dcterms:W3CDTF">2026-10-26T06:14:13Z</dcterms:modified>
</cp:coreProperties>
</file>